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unet-my.sharepoint.com/personal/sw23263n_st_omu_ac_jp/Documents/3年前期/情報工学実験1/実験4/"/>
    </mc:Choice>
  </mc:AlternateContent>
  <xr:revisionPtr revIDLastSave="138" documentId="8_{E93F875D-E052-4F04-96B7-CD3041DD64EB}" xr6:coauthVersionLast="47" xr6:coauthVersionMax="47" xr10:uidLastSave="{5F2883DC-CF7B-4289-BE95-30A2ECE59DFB}"/>
  <bookViews>
    <workbookView xWindow="-110" yWindow="-110" windowWidth="19420" windowHeight="11500" xr2:uid="{F8157DC6-4829-4EF0-8A7F-C9937B1F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1" l="1"/>
  <c r="P16" i="1"/>
  <c r="O15" i="1"/>
  <c r="N14" i="1"/>
  <c r="M13" i="1"/>
  <c r="L12" i="1"/>
  <c r="K11" i="1"/>
  <c r="J10" i="1"/>
  <c r="I9" i="1"/>
  <c r="H8" i="1"/>
  <c r="G7" i="1"/>
  <c r="F6" i="1"/>
  <c r="E5" i="1"/>
  <c r="D4" i="1"/>
  <c r="C3" i="1"/>
  <c r="B2" i="1"/>
</calcChain>
</file>

<file path=xl/sharedStrings.xml><?xml version="1.0" encoding="utf-8"?>
<sst xmlns="http://schemas.openxmlformats.org/spreadsheetml/2006/main" count="273" uniqueCount="33">
  <si>
    <t>Hue&amp;Hue</t>
  </si>
  <si>
    <t>0/16</t>
    <phoneticPr fontId="1"/>
  </si>
  <si>
    <t>1/16</t>
    <phoneticPr fontId="1"/>
  </si>
  <si>
    <t>2/16</t>
    <phoneticPr fontId="1"/>
  </si>
  <si>
    <t>3/16</t>
    <phoneticPr fontId="1"/>
  </si>
  <si>
    <t>4/16</t>
    <phoneticPr fontId="1"/>
  </si>
  <si>
    <t>5/16</t>
    <phoneticPr fontId="1"/>
  </si>
  <si>
    <t>6/16</t>
    <phoneticPr fontId="1"/>
  </si>
  <si>
    <t>7/16</t>
    <phoneticPr fontId="1"/>
  </si>
  <si>
    <t>8/16</t>
    <phoneticPr fontId="1"/>
  </si>
  <si>
    <t>9/16</t>
    <phoneticPr fontId="1"/>
  </si>
  <si>
    <t>10/16</t>
    <phoneticPr fontId="1"/>
  </si>
  <si>
    <t>11/16</t>
    <phoneticPr fontId="1"/>
  </si>
  <si>
    <t>12/16</t>
    <phoneticPr fontId="1"/>
  </si>
  <si>
    <t>13/16</t>
    <phoneticPr fontId="1"/>
  </si>
  <si>
    <t>14/16</t>
    <phoneticPr fontId="1"/>
  </si>
  <si>
    <t>15/16</t>
    <phoneticPr fontId="1"/>
  </si>
  <si>
    <t>1/5</t>
    <phoneticPr fontId="1"/>
  </si>
  <si>
    <t>1/3</t>
    <phoneticPr fontId="1"/>
  </si>
  <si>
    <t>1</t>
    <phoneticPr fontId="1"/>
  </si>
  <si>
    <t>1/2</t>
    <phoneticPr fontId="1"/>
  </si>
  <si>
    <t>2</t>
    <phoneticPr fontId="1"/>
  </si>
  <si>
    <t>3</t>
    <phoneticPr fontId="1"/>
  </si>
  <si>
    <t>4</t>
    <phoneticPr fontId="1"/>
  </si>
  <si>
    <t>5</t>
    <phoneticPr fontId="1"/>
  </si>
  <si>
    <t>6</t>
    <phoneticPr fontId="1"/>
  </si>
  <si>
    <t>8</t>
    <phoneticPr fontId="1"/>
  </si>
  <si>
    <t>7</t>
    <phoneticPr fontId="1"/>
  </si>
  <si>
    <t>0</t>
    <phoneticPr fontId="1"/>
  </si>
  <si>
    <t>1/4</t>
    <phoneticPr fontId="1"/>
  </si>
  <si>
    <t>1/6</t>
    <phoneticPr fontId="1"/>
  </si>
  <si>
    <t>1/8</t>
    <phoneticPr fontId="1"/>
  </si>
  <si>
    <t>1/7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</si>
</sst>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C0FA-2CF7-45F3-82D8-672CAC972CFD}">
  <dimension ref="A1:Q17"/>
  <sheetViews>
    <sheetView tabSelected="1" zoomScale="86" workbookViewId="0">
      <pane xSplit="1" topLeftCell="B1" activePane="topRight" state="frozen"/>
      <selection pane="topRight" activeCell="M19" sqref="M19"/>
    </sheetView>
  </sheetViews>
  <sheetFormatPr defaultRowHeight="18" x14ac:dyDescent="0.55000000000000004"/>
  <cols>
    <col min="1" max="1" width="8.6640625" style="1"/>
    <col min="2" max="2" width="5.08203125" style="1" bestFit="1" customWidth="1"/>
    <col min="3" max="3" width="8.9140625" style="1" bestFit="1" customWidth="1"/>
    <col min="4" max="11" width="5.08203125" style="1" bestFit="1" customWidth="1"/>
    <col min="12" max="17" width="6.08203125" style="1" bestFit="1" customWidth="1"/>
    <col min="18" max="16384" width="8.6640625" style="1"/>
  </cols>
  <sheetData>
    <row r="1" spans="1:17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55000000000000004">
      <c r="A2" s="2" t="s">
        <v>1</v>
      </c>
      <c r="B2" s="2">
        <f>COUNTIF(C2:Q2,"0")+1</f>
        <v>11</v>
      </c>
      <c r="C2" s="2" t="s">
        <v>28</v>
      </c>
      <c r="D2" s="2" t="s">
        <v>28</v>
      </c>
      <c r="E2" s="2" t="s">
        <v>17</v>
      </c>
      <c r="F2" s="2" t="s">
        <v>28</v>
      </c>
      <c r="G2" s="2" t="s">
        <v>28</v>
      </c>
      <c r="H2" s="2" t="s">
        <v>17</v>
      </c>
      <c r="I2" s="2" t="s">
        <v>28</v>
      </c>
      <c r="J2" s="2" t="s">
        <v>28</v>
      </c>
      <c r="K2" s="2" t="s">
        <v>19</v>
      </c>
      <c r="L2" s="2" t="s">
        <v>28</v>
      </c>
      <c r="M2" s="2" t="s">
        <v>28</v>
      </c>
      <c r="N2" s="2" t="s">
        <v>21</v>
      </c>
      <c r="O2" s="2" t="s">
        <v>28</v>
      </c>
      <c r="P2" s="2" t="s">
        <v>28</v>
      </c>
      <c r="Q2" s="2" t="s">
        <v>19</v>
      </c>
    </row>
    <row r="3" spans="1:17" x14ac:dyDescent="0.55000000000000004">
      <c r="A3" s="2" t="s">
        <v>2</v>
      </c>
      <c r="B3" s="2" t="s">
        <v>28</v>
      </c>
      <c r="C3" s="2">
        <f>COUNTIF(D3:Q3,"0")+COUNTIF(B3,"0")+1</f>
        <v>11</v>
      </c>
      <c r="D3" s="2" t="s">
        <v>28</v>
      </c>
      <c r="E3" s="2" t="s">
        <v>18</v>
      </c>
      <c r="F3" s="2" t="s">
        <v>28</v>
      </c>
      <c r="G3" s="2" t="s">
        <v>28</v>
      </c>
      <c r="H3" s="2" t="s">
        <v>20</v>
      </c>
      <c r="I3" s="2" t="s">
        <v>28</v>
      </c>
      <c r="J3" s="2" t="s">
        <v>28</v>
      </c>
      <c r="K3" s="2" t="s">
        <v>21</v>
      </c>
      <c r="L3" s="2" t="s">
        <v>28</v>
      </c>
      <c r="M3" s="2" t="s">
        <v>28</v>
      </c>
      <c r="N3" s="2" t="s">
        <v>24</v>
      </c>
      <c r="O3" s="2" t="s">
        <v>28</v>
      </c>
      <c r="P3" s="2" t="s">
        <v>28</v>
      </c>
      <c r="Q3" s="2" t="s">
        <v>21</v>
      </c>
    </row>
    <row r="4" spans="1:17" x14ac:dyDescent="0.55000000000000004">
      <c r="A4" s="2" t="s">
        <v>3</v>
      </c>
      <c r="B4" s="2" t="s">
        <v>28</v>
      </c>
      <c r="C4" s="2" t="s">
        <v>28</v>
      </c>
      <c r="D4" s="2">
        <f>COUNTIF(E4:Q4,"0")+COUNTIF(B4:C4,"0")+1</f>
        <v>11</v>
      </c>
      <c r="E4" s="2" t="s">
        <v>19</v>
      </c>
      <c r="F4" s="2" t="s">
        <v>28</v>
      </c>
      <c r="G4" s="2" t="s">
        <v>28</v>
      </c>
      <c r="H4" s="2" t="s">
        <v>19</v>
      </c>
      <c r="I4" s="2" t="s">
        <v>28</v>
      </c>
      <c r="J4" s="2" t="s">
        <v>28</v>
      </c>
      <c r="K4" s="2" t="s">
        <v>22</v>
      </c>
      <c r="L4" s="2" t="s">
        <v>28</v>
      </c>
      <c r="M4" s="2" t="s">
        <v>28</v>
      </c>
      <c r="N4" s="2" t="s">
        <v>25</v>
      </c>
      <c r="O4" s="2" t="s">
        <v>28</v>
      </c>
      <c r="P4" s="2" t="s">
        <v>28</v>
      </c>
      <c r="Q4" s="2" t="s">
        <v>22</v>
      </c>
    </row>
    <row r="5" spans="1:17" x14ac:dyDescent="0.55000000000000004">
      <c r="A5" s="2" t="s">
        <v>4</v>
      </c>
      <c r="B5" s="2" t="s">
        <v>24</v>
      </c>
      <c r="C5" s="2" t="s">
        <v>22</v>
      </c>
      <c r="D5" s="2" t="s">
        <v>19</v>
      </c>
      <c r="E5" s="2">
        <f>COUNTIF(F5:Q5,"0")+COUNTIF(B5:D5,"0")+1</f>
        <v>9</v>
      </c>
      <c r="F5" s="2" t="s">
        <v>28</v>
      </c>
      <c r="G5" s="2" t="s">
        <v>28</v>
      </c>
      <c r="H5" s="2" t="s">
        <v>21</v>
      </c>
      <c r="I5" s="2" t="s">
        <v>28</v>
      </c>
      <c r="J5" s="2" t="s">
        <v>28</v>
      </c>
      <c r="K5" s="2" t="s">
        <v>23</v>
      </c>
      <c r="L5" s="2" t="s">
        <v>28</v>
      </c>
      <c r="M5" s="2" t="s">
        <v>28</v>
      </c>
      <c r="N5" s="2" t="s">
        <v>26</v>
      </c>
      <c r="O5" s="2" t="s">
        <v>28</v>
      </c>
      <c r="P5" s="2" t="s">
        <v>28</v>
      </c>
      <c r="Q5" s="2" t="s">
        <v>23</v>
      </c>
    </row>
    <row r="6" spans="1:17" x14ac:dyDescent="0.55000000000000004">
      <c r="A6" s="2" t="s">
        <v>5</v>
      </c>
      <c r="B6" s="2" t="s">
        <v>28</v>
      </c>
      <c r="C6" s="2" t="s">
        <v>28</v>
      </c>
      <c r="D6" s="2" t="s">
        <v>28</v>
      </c>
      <c r="E6" s="2" t="s">
        <v>28</v>
      </c>
      <c r="F6" s="2">
        <f>COUNTIF(G6:Q6,"0")+COUNTIF(B6:E6,"0")+1</f>
        <v>12</v>
      </c>
      <c r="G6" s="2" t="s">
        <v>28</v>
      </c>
      <c r="H6" s="2" t="s">
        <v>19</v>
      </c>
      <c r="I6" s="2" t="s">
        <v>28</v>
      </c>
      <c r="J6" s="2" t="s">
        <v>28</v>
      </c>
      <c r="K6" s="2" t="s">
        <v>23</v>
      </c>
      <c r="L6" s="2" t="s">
        <v>28</v>
      </c>
      <c r="M6" s="2" t="s">
        <v>28</v>
      </c>
      <c r="N6" s="2" t="s">
        <v>27</v>
      </c>
      <c r="O6" s="2" t="s">
        <v>28</v>
      </c>
      <c r="P6" s="2" t="s">
        <v>28</v>
      </c>
      <c r="Q6" s="2" t="s">
        <v>24</v>
      </c>
    </row>
    <row r="7" spans="1:17" x14ac:dyDescent="0.55000000000000004">
      <c r="A7" s="2" t="s">
        <v>6</v>
      </c>
      <c r="B7" s="2" t="s">
        <v>28</v>
      </c>
      <c r="C7" s="2" t="s">
        <v>28</v>
      </c>
      <c r="D7" s="2" t="s">
        <v>28</v>
      </c>
      <c r="E7" s="2" t="s">
        <v>28</v>
      </c>
      <c r="F7" s="2" t="s">
        <v>28</v>
      </c>
      <c r="G7" s="2">
        <f>COUNTIF(H7:Q7,"0")+COUNTIF(B7:F7,"0")+1</f>
        <v>12</v>
      </c>
      <c r="H7" s="2" t="s">
        <v>19</v>
      </c>
      <c r="I7" s="2" t="s">
        <v>28</v>
      </c>
      <c r="J7" s="2" t="s">
        <v>28</v>
      </c>
      <c r="K7" s="2" t="s">
        <v>22</v>
      </c>
      <c r="L7" s="2" t="s">
        <v>28</v>
      </c>
      <c r="M7" s="2" t="s">
        <v>28</v>
      </c>
      <c r="N7" s="2" t="s">
        <v>24</v>
      </c>
      <c r="O7" s="2" t="s">
        <v>28</v>
      </c>
      <c r="P7" s="2" t="s">
        <v>28</v>
      </c>
      <c r="Q7" s="2" t="s">
        <v>25</v>
      </c>
    </row>
    <row r="8" spans="1:17" x14ac:dyDescent="0.55000000000000004">
      <c r="A8" s="2" t="s">
        <v>7</v>
      </c>
      <c r="B8" s="2" t="s">
        <v>24</v>
      </c>
      <c r="C8" s="2" t="s">
        <v>21</v>
      </c>
      <c r="D8" s="2" t="s">
        <v>19</v>
      </c>
      <c r="E8" s="2" t="s">
        <v>20</v>
      </c>
      <c r="F8" s="2" t="s">
        <v>19</v>
      </c>
      <c r="G8" s="2" t="s">
        <v>19</v>
      </c>
      <c r="H8" s="2">
        <f>COUNTIF(I8:Q8,"0")+COUNTIF(B8:G8,"0")+1</f>
        <v>7</v>
      </c>
      <c r="I8" s="2" t="s">
        <v>28</v>
      </c>
      <c r="J8" s="2" t="s">
        <v>28</v>
      </c>
      <c r="K8" s="2" t="s">
        <v>23</v>
      </c>
      <c r="L8" s="2" t="s">
        <v>28</v>
      </c>
      <c r="M8" s="2" t="s">
        <v>28</v>
      </c>
      <c r="N8" s="2" t="s">
        <v>25</v>
      </c>
      <c r="O8" s="2" t="s">
        <v>28</v>
      </c>
      <c r="P8" s="2" t="s">
        <v>28</v>
      </c>
      <c r="Q8" s="2" t="s">
        <v>25</v>
      </c>
    </row>
    <row r="9" spans="1:17" x14ac:dyDescent="0.55000000000000004">
      <c r="A9" s="2" t="s">
        <v>8</v>
      </c>
      <c r="B9" s="2" t="s">
        <v>28</v>
      </c>
      <c r="C9" s="2" t="s">
        <v>28</v>
      </c>
      <c r="D9" s="2" t="s">
        <v>28</v>
      </c>
      <c r="E9" s="2" t="s">
        <v>28</v>
      </c>
      <c r="F9" s="2" t="s">
        <v>28</v>
      </c>
      <c r="G9" s="2" t="s">
        <v>28</v>
      </c>
      <c r="H9" s="2" t="s">
        <v>28</v>
      </c>
      <c r="I9" s="2">
        <f>COUNTIF(J9:Q9,"0")+COUNTIF(B9:H9,"0")+1</f>
        <v>13</v>
      </c>
      <c r="J9" s="2" t="s">
        <v>28</v>
      </c>
      <c r="K9" s="2" t="s">
        <v>21</v>
      </c>
      <c r="L9" s="2" t="s">
        <v>28</v>
      </c>
      <c r="M9" s="2" t="s">
        <v>28</v>
      </c>
      <c r="N9" s="2" t="s">
        <v>24</v>
      </c>
      <c r="O9" s="2" t="s">
        <v>28</v>
      </c>
      <c r="P9" s="2" t="s">
        <v>28</v>
      </c>
      <c r="Q9" s="2" t="s">
        <v>24</v>
      </c>
    </row>
    <row r="10" spans="1:17" x14ac:dyDescent="0.55000000000000004">
      <c r="A10" s="2" t="s">
        <v>9</v>
      </c>
      <c r="B10" s="2" t="s">
        <v>28</v>
      </c>
      <c r="C10" s="2" t="s">
        <v>28</v>
      </c>
      <c r="D10" s="2" t="s">
        <v>28</v>
      </c>
      <c r="E10" s="2" t="s">
        <v>28</v>
      </c>
      <c r="F10" s="2" t="s">
        <v>28</v>
      </c>
      <c r="G10" s="2" t="s">
        <v>28</v>
      </c>
      <c r="H10" s="2" t="s">
        <v>28</v>
      </c>
      <c r="I10" s="2" t="s">
        <v>28</v>
      </c>
      <c r="J10" s="2">
        <f>COUNTIF(K10:Q10,"0")+COUNTIF(B10:I10,"0")+1</f>
        <v>13</v>
      </c>
      <c r="K10" s="2" t="s">
        <v>22</v>
      </c>
      <c r="L10" s="2" t="s">
        <v>28</v>
      </c>
      <c r="M10" s="2" t="s">
        <v>28</v>
      </c>
      <c r="N10" s="2" t="s">
        <v>25</v>
      </c>
      <c r="O10" s="2" t="s">
        <v>28</v>
      </c>
      <c r="P10" s="2" t="s">
        <v>28</v>
      </c>
      <c r="Q10" s="2" t="s">
        <v>26</v>
      </c>
    </row>
    <row r="11" spans="1:17" x14ac:dyDescent="0.55000000000000004">
      <c r="A11" s="2" t="s">
        <v>10</v>
      </c>
      <c r="B11" s="2" t="s">
        <v>19</v>
      </c>
      <c r="C11" s="2" t="s">
        <v>20</v>
      </c>
      <c r="D11" s="2" t="s">
        <v>18</v>
      </c>
      <c r="E11" s="2" t="s">
        <v>29</v>
      </c>
      <c r="F11" s="2" t="s">
        <v>29</v>
      </c>
      <c r="G11" s="2" t="s">
        <v>18</v>
      </c>
      <c r="H11" s="2" t="s">
        <v>29</v>
      </c>
      <c r="I11" s="2" t="s">
        <v>20</v>
      </c>
      <c r="J11" s="2" t="s">
        <v>18</v>
      </c>
      <c r="K11" s="2">
        <f>COUNTIF(L11:Q11,"0")+COUNTIF(B11:J11,"0")+1</f>
        <v>5</v>
      </c>
      <c r="L11" s="2" t="s">
        <v>28</v>
      </c>
      <c r="M11" s="2" t="s">
        <v>28</v>
      </c>
      <c r="N11" s="2" t="s">
        <v>22</v>
      </c>
      <c r="O11" s="2" t="s">
        <v>28</v>
      </c>
      <c r="P11" s="2" t="s">
        <v>28</v>
      </c>
      <c r="Q11" s="2" t="s">
        <v>24</v>
      </c>
    </row>
    <row r="12" spans="1:17" x14ac:dyDescent="0.55000000000000004">
      <c r="A12" s="2" t="s">
        <v>11</v>
      </c>
      <c r="B12" s="2" t="s">
        <v>28</v>
      </c>
      <c r="C12" s="2" t="s">
        <v>28</v>
      </c>
      <c r="D12" s="2" t="s">
        <v>28</v>
      </c>
      <c r="E12" s="2" t="s">
        <v>28</v>
      </c>
      <c r="F12" s="2" t="s">
        <v>28</v>
      </c>
      <c r="G12" s="2" t="s">
        <v>28</v>
      </c>
      <c r="H12" s="2" t="s">
        <v>28</v>
      </c>
      <c r="I12" s="2" t="s">
        <v>28</v>
      </c>
      <c r="J12" s="2" t="s">
        <v>28</v>
      </c>
      <c r="K12" s="2" t="s">
        <v>28</v>
      </c>
      <c r="L12" s="2">
        <f>COUNTIF(M12:Q12,"0")+COUNTIF(B12:K12,"0")+1</f>
        <v>14</v>
      </c>
      <c r="M12" s="2" t="s">
        <v>28</v>
      </c>
      <c r="N12" s="2" t="s">
        <v>19</v>
      </c>
      <c r="O12" s="2" t="s">
        <v>28</v>
      </c>
      <c r="P12" s="2" t="s">
        <v>28</v>
      </c>
      <c r="Q12" s="2" t="s">
        <v>18</v>
      </c>
    </row>
    <row r="13" spans="1:17" x14ac:dyDescent="0.55000000000000004">
      <c r="A13" s="2" t="s">
        <v>12</v>
      </c>
      <c r="B13" s="2" t="s">
        <v>28</v>
      </c>
      <c r="C13" s="2" t="s">
        <v>28</v>
      </c>
      <c r="D13" s="2" t="s">
        <v>28</v>
      </c>
      <c r="E13" s="2" t="s">
        <v>28</v>
      </c>
      <c r="F13" s="2" t="s">
        <v>28</v>
      </c>
      <c r="G13" s="2" t="s">
        <v>28</v>
      </c>
      <c r="H13" s="2" t="s">
        <v>28</v>
      </c>
      <c r="I13" s="2" t="s">
        <v>28</v>
      </c>
      <c r="J13" s="2" t="s">
        <v>28</v>
      </c>
      <c r="K13" s="2" t="s">
        <v>28</v>
      </c>
      <c r="L13" s="2" t="s">
        <v>28</v>
      </c>
      <c r="M13" s="2">
        <f>COUNTIF(N13:Q13,"0")+COUNTIF(B13:L13,"0")+1</f>
        <v>14</v>
      </c>
      <c r="N13" s="2" t="s">
        <v>19</v>
      </c>
      <c r="O13" s="2" t="s">
        <v>28</v>
      </c>
      <c r="P13" s="2" t="s">
        <v>28</v>
      </c>
      <c r="Q13" s="2" t="s">
        <v>17</v>
      </c>
    </row>
    <row r="14" spans="1:17" x14ac:dyDescent="0.55000000000000004">
      <c r="A14" s="2" t="s">
        <v>13</v>
      </c>
      <c r="B14" s="2" t="s">
        <v>20</v>
      </c>
      <c r="C14" s="2" t="s">
        <v>17</v>
      </c>
      <c r="D14" s="2" t="s">
        <v>30</v>
      </c>
      <c r="E14" s="2" t="s">
        <v>31</v>
      </c>
      <c r="F14" s="2" t="s">
        <v>32</v>
      </c>
      <c r="G14" s="2" t="s">
        <v>17</v>
      </c>
      <c r="H14" s="2" t="s">
        <v>30</v>
      </c>
      <c r="I14" s="2" t="s">
        <v>17</v>
      </c>
      <c r="J14" s="2" t="s">
        <v>30</v>
      </c>
      <c r="K14" s="2" t="s">
        <v>18</v>
      </c>
      <c r="L14" s="2" t="s">
        <v>19</v>
      </c>
      <c r="M14" s="2" t="s">
        <v>19</v>
      </c>
      <c r="N14" s="2">
        <f>COUNTIF(O14:Q14,"0")+COUNTIF(B14:M14,"0")+1</f>
        <v>3</v>
      </c>
      <c r="O14" s="2" t="s">
        <v>28</v>
      </c>
      <c r="P14" s="2" t="s">
        <v>28</v>
      </c>
      <c r="Q14" s="2" t="s">
        <v>18</v>
      </c>
    </row>
    <row r="15" spans="1:17" x14ac:dyDescent="0.55000000000000004">
      <c r="A15" s="2" t="s">
        <v>14</v>
      </c>
      <c r="B15" s="2" t="s">
        <v>28</v>
      </c>
      <c r="C15" s="2" t="s">
        <v>28</v>
      </c>
      <c r="D15" s="2" t="s">
        <v>28</v>
      </c>
      <c r="E15" s="2" t="s">
        <v>28</v>
      </c>
      <c r="F15" s="2" t="s">
        <v>28</v>
      </c>
      <c r="G15" s="2" t="s">
        <v>28</v>
      </c>
      <c r="H15" s="2" t="s">
        <v>28</v>
      </c>
      <c r="I15" s="2" t="s">
        <v>28</v>
      </c>
      <c r="J15" s="2" t="s">
        <v>28</v>
      </c>
      <c r="K15" s="2" t="s">
        <v>28</v>
      </c>
      <c r="L15" s="2" t="s">
        <v>28</v>
      </c>
      <c r="M15" s="2" t="s">
        <v>28</v>
      </c>
      <c r="N15" s="2" t="s">
        <v>28</v>
      </c>
      <c r="O15" s="2">
        <f>COUNTIF(P15:Q15,"0")+COUNTIF(B15:N15,"0")+1</f>
        <v>15</v>
      </c>
      <c r="P15" s="2" t="s">
        <v>28</v>
      </c>
      <c r="Q15" s="2" t="s">
        <v>20</v>
      </c>
    </row>
    <row r="16" spans="1:17" x14ac:dyDescent="0.55000000000000004">
      <c r="A16" s="2" t="s">
        <v>15</v>
      </c>
      <c r="B16" s="2" t="s">
        <v>28</v>
      </c>
      <c r="C16" s="2" t="s">
        <v>28</v>
      </c>
      <c r="D16" s="2" t="s">
        <v>28</v>
      </c>
      <c r="E16" s="2" t="s">
        <v>28</v>
      </c>
      <c r="F16" s="2" t="s">
        <v>28</v>
      </c>
      <c r="G16" s="2" t="s">
        <v>28</v>
      </c>
      <c r="H16" s="2" t="s">
        <v>28</v>
      </c>
      <c r="I16" s="2" t="s">
        <v>28</v>
      </c>
      <c r="J16" s="2" t="s">
        <v>28</v>
      </c>
      <c r="K16" s="2" t="s">
        <v>28</v>
      </c>
      <c r="L16" s="2" t="s">
        <v>28</v>
      </c>
      <c r="M16" s="2" t="s">
        <v>28</v>
      </c>
      <c r="N16" s="2" t="s">
        <v>28</v>
      </c>
      <c r="O16" s="2" t="s">
        <v>28</v>
      </c>
      <c r="P16" s="2">
        <f>COUNTIF(Q16,"0")+COUNTIF(B16:O16,"0")+1</f>
        <v>15</v>
      </c>
      <c r="Q16" s="2" t="s">
        <v>21</v>
      </c>
    </row>
    <row r="17" spans="1:17" x14ac:dyDescent="0.55000000000000004">
      <c r="A17" s="2" t="s">
        <v>16</v>
      </c>
      <c r="B17" s="2" t="s">
        <v>19</v>
      </c>
      <c r="C17" s="2" t="s">
        <v>20</v>
      </c>
      <c r="D17" s="2" t="s">
        <v>18</v>
      </c>
      <c r="E17" s="2" t="s">
        <v>29</v>
      </c>
      <c r="F17" s="2" t="s">
        <v>17</v>
      </c>
      <c r="G17" s="2" t="s">
        <v>30</v>
      </c>
      <c r="H17" s="2" t="s">
        <v>30</v>
      </c>
      <c r="I17" s="2" t="s">
        <v>17</v>
      </c>
      <c r="J17" s="2" t="s">
        <v>31</v>
      </c>
      <c r="K17" s="2" t="s">
        <v>17</v>
      </c>
      <c r="L17" s="2" t="s">
        <v>22</v>
      </c>
      <c r="M17" s="2" t="s">
        <v>24</v>
      </c>
      <c r="N17" s="2" t="s">
        <v>22</v>
      </c>
      <c r="O17" s="2" t="s">
        <v>21</v>
      </c>
      <c r="P17" s="2" t="s">
        <v>20</v>
      </c>
      <c r="Q17" s="2">
        <f>COUNTIF(B17:P17,"0")+1</f>
        <v>1</v>
      </c>
    </row>
  </sheetData>
  <phoneticPr fontId="1"/>
  <pageMargins left="0.7" right="0.7" top="0.75" bottom="0.75" header="0.3" footer="0.3"/>
  <pageSetup paperSize="9" orientation="portrait" r:id="rId1"/>
  <ignoredErrors>
    <ignoredError sqref="E4 O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牧野　唯希</dc:creator>
  <cp:lastModifiedBy>牧野　唯希</cp:lastModifiedBy>
  <dcterms:created xsi:type="dcterms:W3CDTF">2025-06-17T04:55:18Z</dcterms:created>
  <dcterms:modified xsi:type="dcterms:W3CDTF">2025-06-17T05:33:10Z</dcterms:modified>
</cp:coreProperties>
</file>